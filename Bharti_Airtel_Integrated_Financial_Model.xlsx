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73AA3575-A5FB-46F8-BB8D-694A122B8C7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ssumptions" sheetId="1" r:id="rId1"/>
    <sheet name="Revenue Model" sheetId="2" r:id="rId2"/>
    <sheet name="Income Statement" sheetId="3" r:id="rId3"/>
    <sheet name="Balance Sheet" sheetId="4" r:id="rId4"/>
    <sheet name="Cash Flow" sheetId="5" r:id="rId5"/>
    <sheet name="Ratio Analysis" sheetId="6" r:id="rId6"/>
    <sheet name="Scenario Analysis" sheetId="7" r:id="rId7"/>
    <sheet name="Valuation" sheetId="8" r:id="rId8"/>
  </sheets>
  <calcPr calcId="191029"/>
  <extLst>
    <ext xmlns:x15="http://schemas.microsoft.com/office/spreadsheetml/2010/11/main" uri="{FCE2AD5D-F65C-4FA6-A056-5C36A1767C68}">
      <x15:dataModel>
        <x15:modelTables>
          <x15:modelTable id="Page001_9ab29ecf-40c9-40fa-ab94-543c16ca5ab8" name="Page001" connection="Query - Page001"/>
          <x15:modelTable id="Page002_8935d956-2c0b-4723-a525-c85fd3327842" name="Page002" connection="Query - Page00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4" l="1"/>
  <c r="E8" i="4"/>
  <c r="D8" i="4"/>
  <c r="C8" i="4"/>
  <c r="B8" i="4"/>
  <c r="C15" i="3"/>
  <c r="D15" i="3"/>
  <c r="E15" i="3"/>
  <c r="F15" i="3"/>
  <c r="C8" i="3"/>
  <c r="D8" i="3"/>
  <c r="E8" i="3"/>
  <c r="F8" i="3"/>
  <c r="B8" i="3"/>
  <c r="B1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F4D5A5-0BF9-4A5D-90C8-9A283FA1CA4C}" name="Query - Page001" description="Connection to the 'Page001' query in the workbook." type="100" refreshedVersion="7" minRefreshableVersion="5">
    <extLst>
      <ext xmlns:x15="http://schemas.microsoft.com/office/spreadsheetml/2010/11/main" uri="{DE250136-89BD-433C-8126-D09CA5730AF9}">
        <x15:connection id="fd3ca81b-f1cc-4641-b3bc-6658844fd611"/>
      </ext>
    </extLst>
  </connection>
  <connection id="2" xr16:uid="{8D466DBE-F26E-490B-911D-6E1E431783F2}" keepAlive="1" name="Query - Page001 (2)" description="Connection to the 'Page001 (2)' query in the workbook." type="5" refreshedVersion="7" background="1" saveData="1">
    <dbPr connection="Provider=Microsoft.Mashup.OleDb.1;Data Source=$Workbook$;Location=&quot;Page001 (2)&quot;;Extended Properties=&quot;&quot;" command="SELECT * FROM [Page001 (2)]"/>
  </connection>
  <connection id="3" xr16:uid="{D7F26DFA-8887-41BF-8A9B-1E690198D9C1}" keepAlive="1" name="Query - Page001 (3)" description="Connection to the 'Page001 (3)' query in the workbook." type="5" refreshedVersion="7" background="1" saveData="1">
    <dbPr connection="Provider=Microsoft.Mashup.OleDb.1;Data Source=$Workbook$;Location=&quot;Page001 (3)&quot;;Extended Properties=&quot;&quot;" command="SELECT * FROM [Page001 (3)]"/>
  </connection>
  <connection id="4" xr16:uid="{E6F34B55-381A-420F-A530-5FB5B675F0C3}" name="Query - Page002" description="Connection to the 'Page002' query in the workbook." type="100" refreshedVersion="7" minRefreshableVersion="5">
    <extLst>
      <ext xmlns:x15="http://schemas.microsoft.com/office/spreadsheetml/2010/11/main" uri="{DE250136-89BD-433C-8126-D09CA5730AF9}">
        <x15:connection id="a61cbbfc-7003-418b-bc18-1ddb22862dba"/>
      </ext>
    </extLst>
  </connection>
  <connection id="5" xr16:uid="{D74B04CA-6D2C-42B2-8C0E-959A0E0D15AE}" keepAlive="1" name="Query - Page002 (2)" description="Connection to the 'Page002 (2)' query in the workbook." type="5" refreshedVersion="7" background="1" saveData="1">
    <dbPr connection="Provider=Microsoft.Mashup.OleDb.1;Data Source=$Workbook$;Location=&quot;Page002 (2)&quot;;Extended Properties=&quot;&quot;" command="SELECT * FROM [Page002 (2)]"/>
  </connection>
  <connection id="6" xr16:uid="{B6E7587B-6F62-4705-B39E-B97AA5FA9294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<sst xmlns="http://schemas.openxmlformats.org/spreadsheetml/2006/main" count="110" uniqueCount="79">
  <si>
    <t>Assumption</t>
  </si>
  <si>
    <t>Logic</t>
  </si>
  <si>
    <t>FY2026E</t>
  </si>
  <si>
    <t>FY2027E</t>
  </si>
  <si>
    <t>Subscriber Growth (%)</t>
  </si>
  <si>
    <t>Steady expansion in rural India and Africa</t>
  </si>
  <si>
    <t>ARPU Growth (%)</t>
  </si>
  <si>
    <t>Premiumization and tariff hikes (Industry trend)</t>
  </si>
  <si>
    <t>EBITDA Margin (%)</t>
  </si>
  <si>
    <t>Operating leverage and cost optimization</t>
  </si>
  <si>
    <t>Tax Rate (%)</t>
  </si>
  <si>
    <t>Effective corporate tax rate in India</t>
  </si>
  <si>
    <t>Capex as % of Sales</t>
  </si>
  <si>
    <t>Declining intensity post-5G rollout</t>
  </si>
  <si>
    <t>Dividend Payout (%)</t>
  </si>
  <si>
    <t>Historical average payout ratio</t>
  </si>
  <si>
    <t>Interest Rate on Debt (%)</t>
  </si>
  <si>
    <t>Average cost of borrowing</t>
  </si>
  <si>
    <t>Metric</t>
  </si>
  <si>
    <t>FY2023A</t>
  </si>
  <si>
    <t>FY2024A</t>
  </si>
  <si>
    <t>FY2025A</t>
  </si>
  <si>
    <t>Subscribers (Mn)</t>
  </si>
  <si>
    <t>ARPU (INR)</t>
  </si>
  <si>
    <t>Mobile Revenue (Cr)</t>
  </si>
  <si>
    <t>Airtel Business (Cr)</t>
  </si>
  <si>
    <t>Homes &amp; DTH (Cr)</t>
  </si>
  <si>
    <t>Africa (Cr)</t>
  </si>
  <si>
    <t>Total Revenue (Cr)</t>
  </si>
  <si>
    <t>Revenue</t>
  </si>
  <si>
    <t>EBITDA</t>
  </si>
  <si>
    <t>D&amp;A</t>
  </si>
  <si>
    <t>EBIT</t>
  </si>
  <si>
    <t>Interest Expense</t>
  </si>
  <si>
    <t>PBT</t>
  </si>
  <si>
    <t>Tax</t>
  </si>
  <si>
    <t>Net Income</t>
  </si>
  <si>
    <t>Net Margin (%)</t>
  </si>
  <si>
    <t>Fixed Assets</t>
  </si>
  <si>
    <t>Current Assets</t>
  </si>
  <si>
    <t>Total Assets</t>
  </si>
  <si>
    <t>Debt</t>
  </si>
  <si>
    <t>Other Liabilities</t>
  </si>
  <si>
    <t>Equity</t>
  </si>
  <si>
    <t>Total Liab &amp; Equity</t>
  </si>
  <si>
    <t>Changes in WC</t>
  </si>
  <si>
    <t>CFO</t>
  </si>
  <si>
    <t>Capex</t>
  </si>
  <si>
    <t>CFI</t>
  </si>
  <si>
    <t>Debt Repayment</t>
  </si>
  <si>
    <t>Dividends</t>
  </si>
  <si>
    <t>CFF</t>
  </si>
  <si>
    <t>Net Cash Flow</t>
  </si>
  <si>
    <t>ROE (%)</t>
  </si>
  <si>
    <t>ROA (%)</t>
  </si>
  <si>
    <t>Debt/Equity</t>
  </si>
  <si>
    <t>Interest Coverage</t>
  </si>
  <si>
    <t>Case</t>
  </si>
  <si>
    <t>FY2027E Revenue</t>
  </si>
  <si>
    <t>FY2027E EBITDA</t>
  </si>
  <si>
    <t>Base Case</t>
  </si>
  <si>
    <t>Bull Case (10% ARPU Growth)</t>
  </si>
  <si>
    <t>Bear Case (5% ARPU Growth)</t>
  </si>
  <si>
    <t>Value</t>
  </si>
  <si>
    <t>EBITDA (FY2027E)</t>
  </si>
  <si>
    <t>Target EV/EBITDA Multiple</t>
  </si>
  <si>
    <t>Enterprise Value</t>
  </si>
  <si>
    <t>Less: Net Debt</t>
  </si>
  <si>
    <t>Equity Value</t>
  </si>
  <si>
    <t>Shares Outstanding (Cr)</t>
  </si>
  <si>
    <t>Target Price (INR)</t>
  </si>
  <si>
    <t xml:space="preserve">Income Statement Of Bharti Airtel Limited </t>
  </si>
  <si>
    <t>Bharti Airtel Cash Flow overview</t>
  </si>
  <si>
    <t xml:space="preserve">Bharti Airtel Ratio Over view </t>
  </si>
  <si>
    <t>Bharti Airtel Balance Sheet Overview</t>
  </si>
  <si>
    <t>Bharti Airtel Assumption for upcoming Year</t>
  </si>
  <si>
    <t xml:space="preserve">Revenue Model of Bharti Airtel </t>
  </si>
  <si>
    <t>Comparison with best and bear  case</t>
  </si>
  <si>
    <t>Valuation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</si>
</sst>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9" fontId="0" fillId="0" borderId="1" xfId="1" applyFont="1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right"/>
    </xf>
    <xf numFmtId="1" fontId="0" fillId="0" borderId="2" xfId="0" applyNumberFormat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1" fontId="0" fillId="0" borderId="3" xfId="0" applyNumberFormat="1" applyBorder="1" applyAlignment="1">
      <alignment horizontal="right"/>
    </xf>
    <xf numFmtId="0" fontId="0" fillId="0" borderId="4" xfId="0" applyBorder="1"/>
    <xf numFmtId="1" fontId="0" fillId="0" borderId="5" xfId="1" applyNumberFormat="1" applyFont="1" applyBorder="1" applyAlignment="1">
      <alignment horizontal="right"/>
    </xf>
    <xf numFmtId="0" fontId="0" fillId="0" borderId="5" xfId="0" applyBorder="1" applyAlignment="1">
      <alignment horizontal="right"/>
    </xf>
    <xf numFmtId="1" fontId="0" fillId="0" borderId="5" xfId="0" applyNumberFormat="1" applyBorder="1" applyAlignment="1">
      <alignment horizontal="right"/>
    </xf>
    <xf numFmtId="1" fontId="0" fillId="0" borderId="6" xfId="0" applyNumberFormat="1" applyBorder="1" applyAlignment="1">
      <alignment horizontal="right"/>
    </xf>
    <xf numFmtId="0" fontId="5" fillId="0" borderId="1" xfId="0" applyFont="1" applyBorder="1" applyAlignment="1">
      <alignment horizontal="center" vertical="top"/>
    </xf>
    <xf numFmtId="0" fontId="3" fillId="0" borderId="1" xfId="0" applyFont="1" applyBorder="1"/>
    <xf numFmtId="9" fontId="0" fillId="0" borderId="1" xfId="1" applyFont="1" applyBorder="1"/>
    <xf numFmtId="2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12"/>
  <sheetViews>
    <sheetView showGridLines="0" tabSelected="1" workbookViewId="0">
      <selection activeCell="B18" sqref="B18"/>
    </sheetView>
  </sheetViews>
  <sheetFormatPr defaultRowHeight="15" x14ac:dyDescent="0.25"/>
  <cols>
    <col min="1" max="1" width="23.7109375" bestFit="1" customWidth="1"/>
    <col min="2" max="2" width="44.42578125" bestFit="1" customWidth="1"/>
    <col min="3" max="4" width="8.140625" bestFit="1" customWidth="1"/>
  </cols>
  <sheetData>
    <row r="3" spans="1:4" x14ac:dyDescent="0.25">
      <c r="A3" s="3" t="s">
        <v>75</v>
      </c>
      <c r="B3" s="4"/>
      <c r="C3" s="4"/>
      <c r="D3" s="4"/>
    </row>
    <row r="4" spans="1:4" x14ac:dyDescent="0.25">
      <c r="A4" s="4"/>
      <c r="B4" s="4"/>
      <c r="C4" s="4"/>
      <c r="D4" s="4"/>
    </row>
    <row r="5" spans="1:4" ht="15.75" x14ac:dyDescent="0.25">
      <c r="A5" s="19" t="s">
        <v>0</v>
      </c>
      <c r="B5" s="19" t="s">
        <v>1</v>
      </c>
      <c r="C5" s="19" t="s">
        <v>2</v>
      </c>
      <c r="D5" s="19" t="s">
        <v>3</v>
      </c>
    </row>
    <row r="6" spans="1:4" ht="15.75" x14ac:dyDescent="0.25">
      <c r="A6" s="20" t="s">
        <v>4</v>
      </c>
      <c r="B6" s="20" t="s">
        <v>5</v>
      </c>
      <c r="C6" s="20">
        <v>0.03</v>
      </c>
      <c r="D6" s="20">
        <v>0.03</v>
      </c>
    </row>
    <row r="7" spans="1:4" ht="15.75" x14ac:dyDescent="0.25">
      <c r="A7" s="20" t="s">
        <v>6</v>
      </c>
      <c r="B7" s="20" t="s">
        <v>7</v>
      </c>
      <c r="C7" s="20">
        <v>0.08</v>
      </c>
      <c r="D7" s="20">
        <v>0.08</v>
      </c>
    </row>
    <row r="8" spans="1:4" ht="15.75" x14ac:dyDescent="0.25">
      <c r="A8" s="20" t="s">
        <v>8</v>
      </c>
      <c r="B8" s="20" t="s">
        <v>9</v>
      </c>
      <c r="C8" s="20">
        <v>0.54</v>
      </c>
      <c r="D8" s="20">
        <v>0.56000000000000005</v>
      </c>
    </row>
    <row r="9" spans="1:4" ht="15.75" x14ac:dyDescent="0.25">
      <c r="A9" s="20" t="s">
        <v>10</v>
      </c>
      <c r="B9" s="20" t="s">
        <v>11</v>
      </c>
      <c r="C9" s="20">
        <v>0.25</v>
      </c>
      <c r="D9" s="20">
        <v>0.25</v>
      </c>
    </row>
    <row r="10" spans="1:4" ht="15.75" x14ac:dyDescent="0.25">
      <c r="A10" s="20" t="s">
        <v>12</v>
      </c>
      <c r="B10" s="20" t="s">
        <v>13</v>
      </c>
      <c r="C10" s="20">
        <v>0.25</v>
      </c>
      <c r="D10" s="20">
        <v>0.2</v>
      </c>
    </row>
    <row r="11" spans="1:4" ht="15.75" x14ac:dyDescent="0.25">
      <c r="A11" s="20" t="s">
        <v>14</v>
      </c>
      <c r="B11" s="20" t="s">
        <v>15</v>
      </c>
      <c r="C11" s="20">
        <v>0.3</v>
      </c>
      <c r="D11" s="20">
        <v>0.3</v>
      </c>
    </row>
    <row r="12" spans="1:4" ht="15.75" x14ac:dyDescent="0.25">
      <c r="A12" s="20" t="s">
        <v>16</v>
      </c>
      <c r="B12" s="20" t="s">
        <v>17</v>
      </c>
      <c r="C12" s="20">
        <v>0.09</v>
      </c>
      <c r="D12" s="20">
        <v>0.09</v>
      </c>
    </row>
  </sheetData>
  <mergeCells count="1">
    <mergeCell ref="A3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F12"/>
  <sheetViews>
    <sheetView showGridLines="0" workbookViewId="0">
      <selection activeCell="J8" sqref="J8"/>
    </sheetView>
  </sheetViews>
  <sheetFormatPr defaultRowHeight="15" x14ac:dyDescent="0.25"/>
  <cols>
    <col min="1" max="1" width="19.5703125" bestFit="1" customWidth="1"/>
    <col min="2" max="6" width="14.7109375" customWidth="1"/>
  </cols>
  <sheetData>
    <row r="3" spans="1:6" x14ac:dyDescent="0.25">
      <c r="A3" s="3" t="s">
        <v>76</v>
      </c>
      <c r="B3" s="4"/>
      <c r="C3" s="4"/>
      <c r="D3" s="4"/>
      <c r="E3" s="3"/>
      <c r="F3" s="4"/>
    </row>
    <row r="4" spans="1:6" x14ac:dyDescent="0.25">
      <c r="A4" s="4"/>
      <c r="B4" s="4"/>
      <c r="C4" s="4"/>
      <c r="D4" s="4"/>
      <c r="E4" s="4"/>
      <c r="F4" s="4"/>
    </row>
    <row r="5" spans="1:6" ht="15" customHeight="1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</v>
      </c>
      <c r="F5" s="1" t="s">
        <v>3</v>
      </c>
    </row>
    <row r="6" spans="1:6" x14ac:dyDescent="0.25">
      <c r="A6" s="2" t="s">
        <v>22</v>
      </c>
      <c r="B6" s="2">
        <v>470</v>
      </c>
      <c r="C6" s="2">
        <v>485</v>
      </c>
      <c r="D6" s="2">
        <v>500</v>
      </c>
      <c r="E6" s="2">
        <v>515</v>
      </c>
      <c r="F6" s="2">
        <v>530.45000000000005</v>
      </c>
    </row>
    <row r="7" spans="1:6" x14ac:dyDescent="0.25">
      <c r="A7" s="2" t="s">
        <v>23</v>
      </c>
      <c r="B7" s="2">
        <v>193</v>
      </c>
      <c r="C7" s="2">
        <v>209</v>
      </c>
      <c r="D7" s="2">
        <v>259</v>
      </c>
      <c r="E7" s="2">
        <v>279.72000000000003</v>
      </c>
      <c r="F7" s="2">
        <v>302.09760000000011</v>
      </c>
    </row>
    <row r="8" spans="1:6" x14ac:dyDescent="0.25">
      <c r="A8" s="2" t="s">
        <v>24</v>
      </c>
      <c r="B8" s="2">
        <v>98200</v>
      </c>
      <c r="C8" s="2">
        <v>105600</v>
      </c>
      <c r="D8" s="2">
        <v>122500</v>
      </c>
      <c r="E8" s="2">
        <v>172866.96</v>
      </c>
      <c r="F8" s="2">
        <v>192297.20630400011</v>
      </c>
    </row>
    <row r="9" spans="1:6" x14ac:dyDescent="0.25">
      <c r="A9" s="2" t="s">
        <v>25</v>
      </c>
      <c r="B9" s="2">
        <v>18600</v>
      </c>
      <c r="C9" s="2">
        <v>21500</v>
      </c>
      <c r="D9" s="2">
        <v>25800</v>
      </c>
      <c r="E9" s="2">
        <v>29670</v>
      </c>
      <c r="F9" s="2">
        <v>34120.499999999993</v>
      </c>
    </row>
    <row r="10" spans="1:6" x14ac:dyDescent="0.25">
      <c r="A10" s="2" t="s">
        <v>26</v>
      </c>
      <c r="B10" s="2">
        <v>8500</v>
      </c>
      <c r="C10" s="2">
        <v>9500</v>
      </c>
      <c r="D10" s="2">
        <v>11500</v>
      </c>
      <c r="E10" s="2">
        <v>13800</v>
      </c>
      <c r="F10" s="2">
        <v>16560</v>
      </c>
    </row>
    <row r="11" spans="1:6" x14ac:dyDescent="0.25">
      <c r="A11" s="2" t="s">
        <v>27</v>
      </c>
      <c r="B11" s="2">
        <v>40945</v>
      </c>
      <c r="C11" s="2">
        <v>44382</v>
      </c>
      <c r="D11" s="2">
        <v>50485</v>
      </c>
      <c r="E11" s="2">
        <v>55533.500000000007</v>
      </c>
      <c r="F11" s="2">
        <v>61086.850000000013</v>
      </c>
    </row>
    <row r="12" spans="1:6" x14ac:dyDescent="0.25">
      <c r="A12" s="2" t="s">
        <v>28</v>
      </c>
      <c r="B12" s="2">
        <v>139145</v>
      </c>
      <c r="C12" s="2">
        <v>149982</v>
      </c>
      <c r="D12" s="2">
        <v>172985</v>
      </c>
      <c r="E12" s="2">
        <v>271870.46000000002</v>
      </c>
      <c r="F12" s="2">
        <v>304064.55630400009</v>
      </c>
    </row>
  </sheetData>
  <mergeCells count="2">
    <mergeCell ref="A3:D4"/>
    <mergeCell ref="E3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F15"/>
  <sheetViews>
    <sheetView showGridLines="0" workbookViewId="0">
      <selection activeCell="F19" sqref="F19"/>
    </sheetView>
  </sheetViews>
  <sheetFormatPr defaultRowHeight="15" x14ac:dyDescent="0.25"/>
  <cols>
    <col min="1" max="1" width="17.5703125" bestFit="1" customWidth="1"/>
    <col min="2" max="6" width="14.7109375" customWidth="1"/>
  </cols>
  <sheetData>
    <row r="3" spans="1:6" x14ac:dyDescent="0.25">
      <c r="A3" s="3" t="s">
        <v>71</v>
      </c>
      <c r="B3" s="4"/>
      <c r="C3" s="4"/>
      <c r="D3" s="4"/>
      <c r="E3" s="4"/>
      <c r="F3" s="4"/>
    </row>
    <row r="4" spans="1:6" x14ac:dyDescent="0.25">
      <c r="A4" s="4"/>
      <c r="B4" s="4"/>
      <c r="C4" s="4"/>
      <c r="D4" s="4"/>
      <c r="E4" s="4"/>
      <c r="F4" s="4"/>
    </row>
    <row r="5" spans="1:6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</v>
      </c>
      <c r="F5" s="1" t="s">
        <v>3</v>
      </c>
    </row>
    <row r="6" spans="1:6" x14ac:dyDescent="0.25">
      <c r="A6" s="2" t="s">
        <v>29</v>
      </c>
      <c r="B6" s="5">
        <v>139145</v>
      </c>
      <c r="C6" s="5">
        <v>149982</v>
      </c>
      <c r="D6" s="5">
        <v>172985</v>
      </c>
      <c r="E6" s="7">
        <v>271870.46000000002</v>
      </c>
      <c r="F6" s="7">
        <v>304064.55630400009</v>
      </c>
    </row>
    <row r="7" spans="1:6" x14ac:dyDescent="0.25">
      <c r="A7" s="2" t="s">
        <v>30</v>
      </c>
      <c r="B7" s="5">
        <v>71274</v>
      </c>
      <c r="C7" s="5">
        <v>77893</v>
      </c>
      <c r="D7" s="5">
        <v>85060</v>
      </c>
      <c r="E7" s="7">
        <v>146810.0484</v>
      </c>
      <c r="F7" s="7">
        <v>170276.15153024011</v>
      </c>
    </row>
    <row r="8" spans="1:6" x14ac:dyDescent="0.25">
      <c r="A8" s="2" t="s">
        <v>8</v>
      </c>
      <c r="B8" s="6">
        <f>B7/B6</f>
        <v>0.5122282511049624</v>
      </c>
      <c r="C8" s="6">
        <f t="shared" ref="C8:F8" si="0">C7/C6</f>
        <v>0.5193489885452921</v>
      </c>
      <c r="D8" s="6">
        <f t="shared" si="0"/>
        <v>0.49171893516778914</v>
      </c>
      <c r="E8" s="6">
        <f t="shared" si="0"/>
        <v>0.53999999999999992</v>
      </c>
      <c r="F8" s="6">
        <f t="shared" si="0"/>
        <v>0.56000000000000016</v>
      </c>
    </row>
    <row r="9" spans="1:6" x14ac:dyDescent="0.25">
      <c r="A9" s="2" t="s">
        <v>31</v>
      </c>
      <c r="B9" s="5">
        <v>36432</v>
      </c>
      <c r="C9" s="5">
        <v>39538</v>
      </c>
      <c r="D9" s="5">
        <v>45570</v>
      </c>
      <c r="E9" s="7">
        <v>59811.501200000013</v>
      </c>
      <c r="F9" s="7">
        <v>66894.202386880017</v>
      </c>
    </row>
    <row r="10" spans="1:6" x14ac:dyDescent="0.25">
      <c r="A10" s="2" t="s">
        <v>32</v>
      </c>
      <c r="B10" s="5">
        <v>34842</v>
      </c>
      <c r="C10" s="5">
        <v>38355</v>
      </c>
      <c r="D10" s="5">
        <v>39490</v>
      </c>
      <c r="E10" s="7">
        <v>86998.54720000003</v>
      </c>
      <c r="F10" s="7">
        <v>103381.94914336001</v>
      </c>
    </row>
    <row r="11" spans="1:6" x14ac:dyDescent="0.25">
      <c r="A11" s="2" t="s">
        <v>33</v>
      </c>
      <c r="B11" s="5">
        <v>19300</v>
      </c>
      <c r="C11" s="5">
        <v>22648</v>
      </c>
      <c r="D11" s="5">
        <v>21754</v>
      </c>
      <c r="E11" s="7">
        <v>18000</v>
      </c>
      <c r="F11" s="7">
        <v>18000</v>
      </c>
    </row>
    <row r="12" spans="1:6" x14ac:dyDescent="0.25">
      <c r="A12" s="2" t="s">
        <v>34</v>
      </c>
      <c r="B12" s="5">
        <v>16561</v>
      </c>
      <c r="C12" s="5">
        <v>12679</v>
      </c>
      <c r="D12" s="5">
        <v>38398</v>
      </c>
      <c r="E12" s="7">
        <v>68998.54720000003</v>
      </c>
      <c r="F12" s="7">
        <v>85381.949143360034</v>
      </c>
    </row>
    <row r="13" spans="1:6" x14ac:dyDescent="0.25">
      <c r="A13" s="2" t="s">
        <v>35</v>
      </c>
      <c r="B13" s="5">
        <v>4274</v>
      </c>
      <c r="C13" s="5">
        <v>4121</v>
      </c>
      <c r="D13" s="5">
        <v>917</v>
      </c>
      <c r="E13" s="7">
        <v>17249.636800000011</v>
      </c>
      <c r="F13" s="7">
        <v>21345.487285840009</v>
      </c>
    </row>
    <row r="14" spans="1:6" x14ac:dyDescent="0.25">
      <c r="A14" s="2" t="s">
        <v>36</v>
      </c>
      <c r="B14" s="5">
        <v>12287</v>
      </c>
      <c r="C14" s="5">
        <v>8558</v>
      </c>
      <c r="D14" s="5">
        <v>37481</v>
      </c>
      <c r="E14" s="7">
        <v>51748.910400000022</v>
      </c>
      <c r="F14" s="7">
        <v>64036.461857520029</v>
      </c>
    </row>
    <row r="15" spans="1:6" x14ac:dyDescent="0.25">
      <c r="A15" s="2" t="s">
        <v>37</v>
      </c>
      <c r="B15" s="6">
        <f>B14/B6</f>
        <v>8.8303568220201953E-2</v>
      </c>
      <c r="C15" s="6">
        <f t="shared" ref="C15:F15" si="1">C14/C6</f>
        <v>5.706018055499993E-2</v>
      </c>
      <c r="D15" s="6">
        <f t="shared" si="1"/>
        <v>0.21667196577737954</v>
      </c>
      <c r="E15" s="6">
        <f t="shared" si="1"/>
        <v>0.19034399838805591</v>
      </c>
      <c r="F15" s="6">
        <f t="shared" si="1"/>
        <v>0.210601533555582</v>
      </c>
    </row>
  </sheetData>
  <mergeCells count="1">
    <mergeCell ref="A3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F12"/>
  <sheetViews>
    <sheetView showGridLines="0" workbookViewId="0">
      <selection activeCell="F18" sqref="F18"/>
    </sheetView>
  </sheetViews>
  <sheetFormatPr defaultRowHeight="15" x14ac:dyDescent="0.25"/>
  <cols>
    <col min="1" max="1" width="17.5703125" bestFit="1" customWidth="1"/>
    <col min="2" max="6" width="14.7109375" customWidth="1"/>
  </cols>
  <sheetData>
    <row r="3" spans="1:6" x14ac:dyDescent="0.25">
      <c r="A3" s="3" t="s">
        <v>74</v>
      </c>
      <c r="B3" s="4"/>
      <c r="C3" s="4"/>
      <c r="D3" s="4"/>
      <c r="E3" s="4"/>
      <c r="F3" s="4"/>
    </row>
    <row r="4" spans="1:6" x14ac:dyDescent="0.25">
      <c r="A4" s="4"/>
      <c r="B4" s="4"/>
      <c r="C4" s="4"/>
      <c r="D4" s="4"/>
      <c r="E4" s="4"/>
      <c r="F4" s="4"/>
    </row>
    <row r="5" spans="1:6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</v>
      </c>
      <c r="F5" s="1" t="s">
        <v>3</v>
      </c>
    </row>
    <row r="6" spans="1:6" x14ac:dyDescent="0.25">
      <c r="A6" s="2" t="s">
        <v>38</v>
      </c>
      <c r="B6" s="5">
        <v>326819</v>
      </c>
      <c r="C6" s="5">
        <v>320207</v>
      </c>
      <c r="D6" s="5">
        <v>399467</v>
      </c>
      <c r="E6" s="7">
        <v>407623.11379999999</v>
      </c>
      <c r="F6" s="7">
        <v>401541.82267392002</v>
      </c>
    </row>
    <row r="7" spans="1:6" ht="15.75" thickBot="1" x14ac:dyDescent="0.3">
      <c r="A7" s="8" t="s">
        <v>39</v>
      </c>
      <c r="B7" s="9">
        <v>117738</v>
      </c>
      <c r="C7" s="9">
        <v>121812</v>
      </c>
      <c r="D7" s="9">
        <v>105539</v>
      </c>
      <c r="E7" s="10">
        <v>163122.27600000001</v>
      </c>
      <c r="F7" s="10">
        <v>182438.73378240009</v>
      </c>
    </row>
    <row r="8" spans="1:6" ht="15.75" thickBot="1" x14ac:dyDescent="0.3">
      <c r="A8" s="14" t="s">
        <v>40</v>
      </c>
      <c r="B8" s="15">
        <f>B6+B7</f>
        <v>444557</v>
      </c>
      <c r="C8" s="15">
        <f>C6+C7</f>
        <v>442019</v>
      </c>
      <c r="D8" s="15">
        <f>D6+D7</f>
        <v>505006</v>
      </c>
      <c r="E8" s="15">
        <f>E6+E7</f>
        <v>570745.3898</v>
      </c>
      <c r="F8" s="15">
        <f>F6+F7</f>
        <v>583980.5564563201</v>
      </c>
    </row>
    <row r="9" spans="1:6" x14ac:dyDescent="0.25">
      <c r="A9" s="11" t="s">
        <v>41</v>
      </c>
      <c r="B9" s="12">
        <v>226020</v>
      </c>
      <c r="C9" s="12">
        <v>215592</v>
      </c>
      <c r="D9" s="12">
        <v>213642</v>
      </c>
      <c r="E9" s="13">
        <v>198642</v>
      </c>
      <c r="F9" s="13">
        <v>183642</v>
      </c>
    </row>
    <row r="10" spans="1:6" x14ac:dyDescent="0.25">
      <c r="A10" s="2" t="s">
        <v>42</v>
      </c>
      <c r="B10" s="5">
        <v>143811</v>
      </c>
      <c r="C10" s="5">
        <v>147285</v>
      </c>
      <c r="D10" s="5">
        <v>180592</v>
      </c>
      <c r="E10" s="7">
        <v>225107.15252</v>
      </c>
      <c r="F10" s="7">
        <v>208516.7958760561</v>
      </c>
    </row>
    <row r="11" spans="1:6" ht="15.75" thickBot="1" x14ac:dyDescent="0.3">
      <c r="A11" s="8" t="s">
        <v>43</v>
      </c>
      <c r="B11" s="9">
        <v>74726</v>
      </c>
      <c r="C11" s="9">
        <v>79142</v>
      </c>
      <c r="D11" s="9">
        <v>110772</v>
      </c>
      <c r="E11" s="10">
        <v>146996.23728</v>
      </c>
      <c r="F11" s="10">
        <v>191821.760580264</v>
      </c>
    </row>
    <row r="12" spans="1:6" ht="15.75" thickBot="1" x14ac:dyDescent="0.3">
      <c r="A12" s="14" t="s">
        <v>44</v>
      </c>
      <c r="B12" s="16">
        <v>444557</v>
      </c>
      <c r="C12" s="16">
        <v>442019</v>
      </c>
      <c r="D12" s="16">
        <v>505006</v>
      </c>
      <c r="E12" s="17">
        <v>570745.3898</v>
      </c>
      <c r="F12" s="18">
        <v>583980.5564563201</v>
      </c>
    </row>
  </sheetData>
  <mergeCells count="1">
    <mergeCell ref="A3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F15"/>
  <sheetViews>
    <sheetView showGridLines="0" workbookViewId="0">
      <selection activeCell="A3" sqref="A3:F4"/>
    </sheetView>
  </sheetViews>
  <sheetFormatPr defaultRowHeight="15" x14ac:dyDescent="0.25"/>
  <cols>
    <col min="1" max="1" width="16" bestFit="1" customWidth="1"/>
    <col min="2" max="6" width="14.7109375" customWidth="1"/>
  </cols>
  <sheetData>
    <row r="3" spans="1:6" x14ac:dyDescent="0.25">
      <c r="A3" s="3" t="s">
        <v>72</v>
      </c>
      <c r="B3" s="4"/>
      <c r="C3" s="4"/>
      <c r="D3" s="4"/>
      <c r="E3" s="4"/>
      <c r="F3" s="4"/>
    </row>
    <row r="4" spans="1:6" x14ac:dyDescent="0.25">
      <c r="A4" s="4"/>
      <c r="B4" s="4"/>
      <c r="C4" s="4"/>
      <c r="D4" s="4"/>
      <c r="E4" s="4"/>
      <c r="F4" s="4"/>
    </row>
    <row r="5" spans="1:6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</v>
      </c>
      <c r="F5" s="1" t="s">
        <v>3</v>
      </c>
    </row>
    <row r="6" spans="1:6" x14ac:dyDescent="0.25">
      <c r="A6" s="2" t="s">
        <v>36</v>
      </c>
      <c r="B6" s="2">
        <v>12287</v>
      </c>
      <c r="C6" s="2">
        <v>8558</v>
      </c>
      <c r="D6" s="2">
        <v>37481</v>
      </c>
      <c r="E6" s="2">
        <v>51748.910400000022</v>
      </c>
      <c r="F6" s="2">
        <v>64036.461857520029</v>
      </c>
    </row>
    <row r="7" spans="1:6" x14ac:dyDescent="0.25">
      <c r="A7" s="2" t="s">
        <v>31</v>
      </c>
      <c r="B7" s="2">
        <v>36432</v>
      </c>
      <c r="C7" s="2">
        <v>39538</v>
      </c>
      <c r="D7" s="2">
        <v>45570</v>
      </c>
      <c r="E7" s="2">
        <v>59811.501200000013</v>
      </c>
      <c r="F7" s="2">
        <v>66894.202386880017</v>
      </c>
    </row>
    <row r="8" spans="1:6" x14ac:dyDescent="0.25">
      <c r="A8" s="2" t="s">
        <v>45</v>
      </c>
      <c r="B8" s="2">
        <v>16606</v>
      </c>
      <c r="C8" s="2">
        <v>30802</v>
      </c>
      <c r="D8" s="2">
        <v>15281</v>
      </c>
      <c r="E8" s="2">
        <v>-5758.3276000000014</v>
      </c>
      <c r="F8" s="2">
        <v>-1931.645778240005</v>
      </c>
    </row>
    <row r="9" spans="1:6" x14ac:dyDescent="0.25">
      <c r="A9" s="2" t="s">
        <v>46</v>
      </c>
      <c r="B9" s="2">
        <v>65325</v>
      </c>
      <c r="C9" s="2">
        <v>78898</v>
      </c>
      <c r="D9" s="2">
        <v>98332</v>
      </c>
      <c r="E9" s="2">
        <v>105802.084</v>
      </c>
      <c r="F9" s="2">
        <v>128999.01846616001</v>
      </c>
    </row>
    <row r="10" spans="1:6" x14ac:dyDescent="0.25">
      <c r="A10" s="2" t="s">
        <v>47</v>
      </c>
      <c r="B10" s="2">
        <v>-39232</v>
      </c>
      <c r="C10" s="2">
        <v>-51089</v>
      </c>
      <c r="D10" s="2">
        <v>-60198</v>
      </c>
      <c r="E10" s="2">
        <v>-67967.614999999991</v>
      </c>
      <c r="F10" s="2">
        <v>-60812.911260800043</v>
      </c>
    </row>
    <row r="11" spans="1:6" x14ac:dyDescent="0.25">
      <c r="A11" s="2" t="s">
        <v>48</v>
      </c>
      <c r="B11" s="2">
        <v>-39232</v>
      </c>
      <c r="C11" s="2">
        <v>-51089</v>
      </c>
      <c r="D11" s="2">
        <v>-60198</v>
      </c>
      <c r="E11" s="2">
        <v>-67967.614999999991</v>
      </c>
      <c r="F11" s="2">
        <v>-60812.911260800043</v>
      </c>
    </row>
    <row r="12" spans="1:6" x14ac:dyDescent="0.25">
      <c r="A12" s="2" t="s">
        <v>49</v>
      </c>
      <c r="B12" s="2">
        <v>-15000</v>
      </c>
      <c r="C12" s="2">
        <v>-15000</v>
      </c>
      <c r="D12" s="2">
        <v>-15000</v>
      </c>
      <c r="E12" s="2">
        <v>-15000</v>
      </c>
      <c r="F12" s="2">
        <v>-15000</v>
      </c>
    </row>
    <row r="13" spans="1:6" x14ac:dyDescent="0.25">
      <c r="A13" s="2" t="s">
        <v>50</v>
      </c>
      <c r="B13" s="2">
        <v>-9470</v>
      </c>
      <c r="C13" s="2">
        <v>-12778</v>
      </c>
      <c r="D13" s="2">
        <v>-21533</v>
      </c>
      <c r="E13" s="2">
        <v>-15524.67312000001</v>
      </c>
      <c r="F13" s="2">
        <v>-19210.93855725601</v>
      </c>
    </row>
    <row r="14" spans="1:6" x14ac:dyDescent="0.25">
      <c r="A14" s="2" t="s">
        <v>51</v>
      </c>
      <c r="B14" s="2">
        <v>-24470</v>
      </c>
      <c r="C14" s="2">
        <v>-27778</v>
      </c>
      <c r="D14" s="2">
        <v>-36533</v>
      </c>
      <c r="E14" s="2">
        <v>-30524.67312000001</v>
      </c>
      <c r="F14" s="2">
        <v>-34210.938557256013</v>
      </c>
    </row>
    <row r="15" spans="1:6" x14ac:dyDescent="0.25">
      <c r="A15" s="2" t="s">
        <v>52</v>
      </c>
      <c r="B15" s="2">
        <v>1623</v>
      </c>
      <c r="C15" s="2">
        <v>31</v>
      </c>
      <c r="D15" s="2">
        <v>1601</v>
      </c>
      <c r="E15" s="2">
        <v>7309.7958800000197</v>
      </c>
      <c r="F15" s="2">
        <v>33975.16864810398</v>
      </c>
    </row>
  </sheetData>
  <mergeCells count="1">
    <mergeCell ref="A3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F10"/>
  <sheetViews>
    <sheetView showGridLines="0" workbookViewId="0">
      <selection activeCell="D15" sqref="D15"/>
    </sheetView>
  </sheetViews>
  <sheetFormatPr defaultRowHeight="15" x14ac:dyDescent="0.25"/>
  <cols>
    <col min="1" max="1" width="17.5703125" bestFit="1" customWidth="1"/>
    <col min="2" max="6" width="14.7109375" customWidth="1"/>
  </cols>
  <sheetData>
    <row r="3" spans="1:6" x14ac:dyDescent="0.25">
      <c r="A3" s="3" t="s">
        <v>73</v>
      </c>
      <c r="B3" s="4"/>
      <c r="C3" s="4"/>
      <c r="D3" s="4"/>
      <c r="E3" s="4"/>
      <c r="F3" s="4"/>
    </row>
    <row r="4" spans="1:6" x14ac:dyDescent="0.25">
      <c r="A4" s="4"/>
      <c r="B4" s="4"/>
      <c r="C4" s="4"/>
      <c r="D4" s="4"/>
      <c r="E4" s="4"/>
      <c r="F4" s="4"/>
    </row>
    <row r="5" spans="1:6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2</v>
      </c>
      <c r="F5" s="1" t="s">
        <v>3</v>
      </c>
    </row>
    <row r="6" spans="1:6" x14ac:dyDescent="0.25">
      <c r="A6" s="2" t="s">
        <v>53</v>
      </c>
      <c r="B6" s="21">
        <v>0.16400000000000001</v>
      </c>
      <c r="C6" s="21">
        <v>0.108</v>
      </c>
      <c r="D6" s="21">
        <v>0.33800000000000002</v>
      </c>
      <c r="E6" s="21">
        <v>0.35204241521793611</v>
      </c>
      <c r="F6" s="21">
        <v>0.33383314626979049</v>
      </c>
    </row>
    <row r="7" spans="1:6" x14ac:dyDescent="0.25">
      <c r="A7" s="2" t="s">
        <v>54</v>
      </c>
      <c r="B7" s="21">
        <v>2.8000000000000001E-2</v>
      </c>
      <c r="C7" s="21">
        <v>1.9E-2</v>
      </c>
      <c r="D7" s="21">
        <v>7.3999999999999996E-2</v>
      </c>
      <c r="E7" s="21">
        <v>9.0668994134378941E-2</v>
      </c>
      <c r="F7" s="21">
        <v>0.1096551266126097</v>
      </c>
    </row>
    <row r="8" spans="1:6" x14ac:dyDescent="0.25">
      <c r="A8" s="2" t="s">
        <v>8</v>
      </c>
      <c r="B8" s="21">
        <v>0.51200000000000001</v>
      </c>
      <c r="C8" s="21">
        <v>0.51900000000000002</v>
      </c>
      <c r="D8" s="21">
        <v>0.49199999999999999</v>
      </c>
      <c r="E8" s="21">
        <v>0.54</v>
      </c>
      <c r="F8" s="21">
        <v>0.56000000000000005</v>
      </c>
    </row>
    <row r="9" spans="1:6" x14ac:dyDescent="0.25">
      <c r="A9" s="2" t="s">
        <v>55</v>
      </c>
      <c r="B9" s="2">
        <v>3.02</v>
      </c>
      <c r="C9" s="2">
        <v>2.72</v>
      </c>
      <c r="D9" s="2">
        <v>1.93</v>
      </c>
      <c r="E9" s="22">
        <v>1.3513407123586749</v>
      </c>
      <c r="F9" s="22">
        <v>0.95735749398024439</v>
      </c>
    </row>
    <row r="10" spans="1:6" x14ac:dyDescent="0.25">
      <c r="A10" s="2" t="s">
        <v>56</v>
      </c>
      <c r="B10" s="2">
        <v>1.81</v>
      </c>
      <c r="C10" s="2">
        <v>1.69</v>
      </c>
      <c r="D10" s="2">
        <v>1.82</v>
      </c>
      <c r="E10" s="22">
        <v>4.8332526222222238</v>
      </c>
      <c r="F10" s="22">
        <v>5.7434416190755577</v>
      </c>
    </row>
  </sheetData>
  <mergeCells count="1">
    <mergeCell ref="A3:F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C8"/>
  <sheetViews>
    <sheetView showGridLines="0" workbookViewId="0">
      <selection activeCell="E7" sqref="E7"/>
    </sheetView>
  </sheetViews>
  <sheetFormatPr defaultRowHeight="15" x14ac:dyDescent="0.25"/>
  <cols>
    <col min="1" max="1" width="27.28515625" bestFit="1" customWidth="1"/>
    <col min="2" max="2" width="16.5703125" bestFit="1" customWidth="1"/>
    <col min="3" max="3" width="15" bestFit="1" customWidth="1"/>
  </cols>
  <sheetData>
    <row r="3" spans="1:3" x14ac:dyDescent="0.25">
      <c r="A3" s="3" t="s">
        <v>77</v>
      </c>
      <c r="B3" s="4"/>
      <c r="C3" s="4"/>
    </row>
    <row r="4" spans="1:3" x14ac:dyDescent="0.25">
      <c r="A4" s="4"/>
      <c r="B4" s="4"/>
      <c r="C4" s="4"/>
    </row>
    <row r="5" spans="1:3" x14ac:dyDescent="0.25">
      <c r="A5" s="1" t="s">
        <v>57</v>
      </c>
      <c r="B5" s="1" t="s">
        <v>58</v>
      </c>
      <c r="C5" s="1" t="s">
        <v>59</v>
      </c>
    </row>
    <row r="6" spans="1:3" x14ac:dyDescent="0.25">
      <c r="A6" s="2" t="s">
        <v>60</v>
      </c>
      <c r="B6" s="2">
        <v>304064.55630400009</v>
      </c>
      <c r="C6" s="2">
        <v>170276.15153024011</v>
      </c>
    </row>
    <row r="7" spans="1:3" x14ac:dyDescent="0.25">
      <c r="A7" s="2" t="s">
        <v>61</v>
      </c>
      <c r="B7" s="2">
        <v>319267.78411920008</v>
      </c>
      <c r="C7" s="2">
        <v>183898.24365265929</v>
      </c>
    </row>
    <row r="8" spans="1:3" x14ac:dyDescent="0.25">
      <c r="A8" s="2" t="s">
        <v>62</v>
      </c>
      <c r="B8" s="2">
        <v>288861.32848880009</v>
      </c>
      <c r="C8" s="2">
        <v>156654.0594078209</v>
      </c>
    </row>
  </sheetData>
  <mergeCells count="1">
    <mergeCell ref="A3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B12"/>
  <sheetViews>
    <sheetView showGridLines="0" workbookViewId="0">
      <selection activeCell="E10" sqref="E10"/>
    </sheetView>
  </sheetViews>
  <sheetFormatPr defaultRowHeight="15" x14ac:dyDescent="0.25"/>
  <cols>
    <col min="1" max="1" width="24.85546875" bestFit="1" customWidth="1"/>
    <col min="2" max="2" width="14.7109375" customWidth="1"/>
  </cols>
  <sheetData>
    <row r="3" spans="1:2" x14ac:dyDescent="0.25">
      <c r="A3" s="3" t="s">
        <v>78</v>
      </c>
      <c r="B3" s="4"/>
    </row>
    <row r="4" spans="1:2" x14ac:dyDescent="0.25">
      <c r="A4" s="4"/>
      <c r="B4" s="4"/>
    </row>
    <row r="5" spans="1:2" x14ac:dyDescent="0.25">
      <c r="A5" s="1" t="s">
        <v>18</v>
      </c>
      <c r="B5" s="1" t="s">
        <v>63</v>
      </c>
    </row>
    <row r="6" spans="1:2" x14ac:dyDescent="0.25">
      <c r="A6" s="2" t="s">
        <v>64</v>
      </c>
      <c r="B6" s="2">
        <v>170276.15153024011</v>
      </c>
    </row>
    <row r="7" spans="1:2" x14ac:dyDescent="0.25">
      <c r="A7" s="2" t="s">
        <v>65</v>
      </c>
      <c r="B7" s="2">
        <v>12</v>
      </c>
    </row>
    <row r="8" spans="1:2" x14ac:dyDescent="0.25">
      <c r="A8" s="2" t="s">
        <v>66</v>
      </c>
      <c r="B8" s="2">
        <v>2043313.81836288</v>
      </c>
    </row>
    <row r="9" spans="1:2" x14ac:dyDescent="0.25">
      <c r="A9" s="2" t="s">
        <v>67</v>
      </c>
      <c r="B9" s="2">
        <v>180000</v>
      </c>
    </row>
    <row r="10" spans="1:2" x14ac:dyDescent="0.25">
      <c r="A10" s="2" t="s">
        <v>68</v>
      </c>
      <c r="B10" s="2">
        <v>1863313.81836288</v>
      </c>
    </row>
    <row r="11" spans="1:2" x14ac:dyDescent="0.25">
      <c r="A11" s="2" t="s">
        <v>69</v>
      </c>
      <c r="B11" s="2">
        <v>600</v>
      </c>
    </row>
    <row r="12" spans="1:2" x14ac:dyDescent="0.25">
      <c r="A12" s="2" t="s">
        <v>70</v>
      </c>
      <c r="B12" s="2">
        <v>3105.5230306048011</v>
      </c>
    </row>
  </sheetData>
  <mergeCells count="1">
    <mergeCell ref="A3:B4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86273C-FF9E-48A0-9A79-EF7C24D333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Assumptions</vt:lpstr>
      <vt:lpstr>Revenue Model</vt:lpstr>
      <vt:lpstr>Income Statement</vt:lpstr>
      <vt:lpstr>Balance Sheet</vt:lpstr>
      <vt:lpstr>Cash Flow</vt:lpstr>
      <vt:lpstr>Ratio Analysis</vt:lpstr>
      <vt:lpstr>Scenario Analysis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Kumar</cp:lastModifiedBy>
  <dcterms:created xsi:type="dcterms:W3CDTF">2026-03-22T11:44:19Z</dcterms:created>
  <dcterms:modified xsi:type="dcterms:W3CDTF">2026-03-22T13:12:55Z</dcterms:modified>
</cp:coreProperties>
</file>